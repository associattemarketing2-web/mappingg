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puts (assumptions)" state="visible" r:id="rId5"/>
    <sheet sheetId="3" name="Scenario Calculator" state="visible" r:id="rId6"/>
    <sheet sheetId="4" name="Phased Plan" state="visible" r:id="rId7"/>
    <sheet sheetId="5" name="Risks &amp; Assumptions" state="visible" r:id="rId8"/>
    <sheet sheetId="6" name="Pre-Payment Checklist" state="visible" r:id="rId9"/>
  </sheets>
  <calcPr calcId="171027" fullCalcOnLoad="1"/>
</workbook>
</file>

<file path=xl/sharedStrings.xml><?xml version="1.0" encoding="utf-8"?>
<sst xmlns="http://schemas.openxmlformats.org/spreadsheetml/2006/main" count="209" uniqueCount="150">
  <si>
    <t>500-Lead Acquisition Plan — Summary</t>
  </si>
  <si>
    <t>Date</t>
  </si>
  <si>
    <t>2026-10-13</t>
  </si>
  <si>
    <t>Status of numbers</t>
  </si>
  <si>
    <t>ILLUSTRATIVE. CPLs are third-party vendor estimates; every rate is an assumption you can edit on "Inputs (assumptions)". Replace with results from a 2–3 week test campaign.</t>
  </si>
  <si>
    <t/>
  </si>
  <si>
    <t>Three different targets</t>
  </si>
  <si>
    <t>500 raw leads</t>
  </si>
  <si>
    <t>Google ₹4.7 L–₹11.8 L; Meta ₹3 L–₹8.9 L (incl. 18% GST assumption)</t>
  </si>
  <si>
    <t>500 valid contacts</t>
  </si>
  <si>
    <t>Google ₹5.2 L–₹14.6 L; Meta ₹3.5 L–₹14.1 L</t>
  </si>
  <si>
    <t>500 qualified ₹1 Cr+ buyers</t>
  </si>
  <si>
    <t>Google ₹13.1 L–₹73.1 L (base ₹29.6 L); Meta ₹11.8 L–₹1.4 Cr (base ₹35.7 L)</t>
  </si>
  <si>
    <t>500 call-ready (qualified + call consent)</t>
  </si>
  <si>
    <t>Google ₹15.4 L–₹1.2 Cr (base ₹39.5 L); Meta ₹14.7 L–₹2.8 Cr (base ₹54.9 L)</t>
  </si>
  <si>
    <t>Best low-cost option</t>
  </si>
  <si>
    <t>Meta Lead Ads — lowest CPL for raw volume, but lowest quality; use a higher-intent form, budget/BHK/timeline questions and an optional call-consent box.</t>
  </si>
  <si>
    <t>Best quality option</t>
  </si>
  <si>
    <t>Google Search ads on locality + BHK + "price" keywords to a Mappingg landing page with your own consent wording (and OTP).</t>
  </si>
  <si>
    <t>Fastest legitimate route</t>
  </si>
  <si>
    <t>Run Google Search + Meta in parallel from day 1 (after fixing consent capture). At ₹10,000/day, 500 RAW leads takes roughly 54 (Meta base) to 77 (Google base) days; 500 QUALIFIED takes far longer unless the daily budget rises — see Scenario Calculator.</t>
  </si>
  <si>
    <t>Portals</t>
  </si>
  <si>
    <t>Supplementary only: 99acres/Magicbricks/Housing volumes are not guaranteed and pricing is quote-only. Do not count on them for the 500.</t>
  </si>
  <si>
    <t>Pre-requisites</t>
  </si>
  <si>
    <t>1) Fix website consent capture (separate approved code task). 2) MahaRERA agent registration number/QR on ads. 3) Privacy policy covering ad leads. 4) 140-series/registered telemarketing set-up and DND scrub before promotional calls (legal confirmation).</t>
  </si>
  <si>
    <t>ILLUSTRATIVE ASSUMPTIONS — yellow cells are inputs. Replace with real numbers from a test campaign.</t>
  </si>
  <si>
    <t>Global inputs</t>
  </si>
  <si>
    <t>Value</t>
  </si>
  <si>
    <t>Basis</t>
  </si>
  <si>
    <t>Target count</t>
  </si>
  <si>
    <t>Your goal</t>
  </si>
  <si>
    <t>GST on ad spend (confirm on invoice)</t>
  </si>
  <si>
    <t>Assumption — Meta/Google India invoices typically add GST; confirm</t>
  </si>
  <si>
    <t>Daily ad budget (₹)</t>
  </si>
  <si>
    <t>Your choice — drives time to target</t>
  </si>
  <si>
    <t>Google Search → landing page / lead form</t>
  </si>
  <si>
    <t>Conservative</t>
  </si>
  <si>
    <t>Base</t>
  </si>
  <si>
    <t>Optimistic</t>
  </si>
  <si>
    <t>CPL — cost per raw lead (₹, ex-GST)</t>
  </si>
  <si>
    <t>Third-party range ₹300–2,500 (Sell.do) / ₹800–2,000 (OwlClaw); ₹1 Cr+ keywords assumed toward upper half</t>
  </si>
  <si>
    <t>Valid phone rate (format valid + reachable)</t>
  </si>
  <si>
    <t>Assumption. Meta pre-fill → more wrong/unused numbers; Search users type their number</t>
  </si>
  <si>
    <t>Duplicate rate</t>
  </si>
  <si>
    <t>Assumption (repeat submissions, overlap with CRM)</t>
  </si>
  <si>
    <t>Qualified rate among valid (Pune/MMR + ₹1 Cr+ + 1–3 BHK + timeline ≠ exploring)</t>
  </si>
  <si>
    <t>Assumption. OwlClaw reports 15–25% (Meta) / 25–40% (Google) lead-to-call — used as a loose anchor only</t>
  </si>
  <si>
    <t>Call-consent opt-in rate among qualified (optional unticked box)</t>
  </si>
  <si>
    <t>Assumption — unknown until tested</t>
  </si>
  <si>
    <t>Meta Lead Ads (higher-intent form + custom questions)</t>
  </si>
  <si>
    <t>Third-party range ₹150–2,000 (Sell.do) / ₹500–1,500 (OwlClaw); higher-intent form raises CPL</t>
  </si>
  <si>
    <t>Formula</t>
  </si>
  <si>
    <t>Cost for 500 RAW leads (₹ incl. GST)</t>
  </si>
  <si>
    <t>Target × CPL × (1+GST)</t>
  </si>
  <si>
    <t>Valid, unique contacts from 500 raw</t>
  </si>
  <si>
    <t>Target × valid × (1−dup)</t>
  </si>
  <si>
    <t>Raw leads needed for 500 VALID contacts</t>
  </si>
  <si>
    <t>Target ÷ (valid × (1−dup))</t>
  </si>
  <si>
    <t>Cost for 500 VALID contacts (₹ incl. GST)</t>
  </si>
  <si>
    <t>Raw needed × CPL × (1+GST)</t>
  </si>
  <si>
    <t>Qualified ₹1 Cr+ buyers from 500 raw</t>
  </si>
  <si>
    <t>Target × valid × (1−dup) × qualified</t>
  </si>
  <si>
    <t>Raw leads needed for 500 QUALIFIED buyers</t>
  </si>
  <si>
    <t>Target ÷ (valid × (1−dup) × qualified)</t>
  </si>
  <si>
    <t>Cost for 500 QUALIFIED buyers (₹ incl. GST)</t>
  </si>
  <si>
    <t>Raw leads needed for 500 CALL-READY (qualified + call consent)</t>
  </si>
  <si>
    <t>… × call-consent rate</t>
  </si>
  <si>
    <t>Cost for 500 CALL-READY buyers (₹ incl. GST)</t>
  </si>
  <si>
    <t>Days to 500 RAW at daily budget</t>
  </si>
  <si>
    <t>Cost ÷ daily budget</t>
  </si>
  <si>
    <t>Days to 500 QUALIFIED at daily budget</t>
  </si>
  <si>
    <t>All figures are ILLUSTRATIVE, computed from the yellow assumption cells — not market statistics.</t>
  </si>
  <si>
    <t>Phase</t>
  </si>
  <si>
    <t>Weeks</t>
  </si>
  <si>
    <t>Actions</t>
  </si>
  <si>
    <t>Spend (₹)</t>
  </si>
  <si>
    <t>Exit criteria</t>
  </si>
  <si>
    <t>0 — Compliance prep</t>
  </si>
  <si>
    <t>1–2</t>
  </si>
  <si>
    <t>Approve &amp; ship consent fixes on site; write consent wording (separate unticked call / WhatsApp boxes, business name, purpose); landing pages per locality; privacy policy update; confirm MahaRERA ad details; legal review of TRAI/DPDP points.</t>
  </si>
  <si>
    <t>0 (internal)</t>
  </si>
  <si>
    <t>Forms store consent text, version, timestamp; legal sign-off</t>
  </si>
  <si>
    <t>1 — Test</t>
  </si>
  <si>
    <t>2–3</t>
  </si>
  <si>
    <t>Google Search (Pune: Wakad, Hinjewadi, Kharadi, Mundhwa, Baner, Balewadi; MMR: Thane, Navi Mumbai, Andheri, Powai) + Meta higher-intent form. Equal split.</t>
  </si>
  <si>
    <t>Your choice, e.g. 14 days × ₹5,000/day ≈ ₹70,000 + GST (illustrative)</t>
  </si>
  <si>
    <t>Measured CPL, valid %, qualified %, consent % per channel — paste into Inputs sheet</t>
  </si>
  <si>
    <t>1b — Portal quotes</t>
  </si>
  <si>
    <t>Request written quotes from 99acres, Magicbricks, Housing.com using the Pre-Payment Checklist. Do not pay until answers received.</t>
  </si>
  <si>
    <t>0</t>
  </si>
  <si>
    <t>Written answers on volume, exclusivity, consent, refunds</t>
  </si>
  <si>
    <t>2 — Scale</t>
  </si>
  <si>
    <t>4–12</t>
  </si>
  <si>
    <t>Move budget to the channel with the lowest cost per QUALIFIED (not per raw) lead. Weekly import via the import specification.</t>
  </si>
  <si>
    <t>Per Scenario Calculator</t>
  </si>
  <si>
    <t>500 qualified / call-ready reached or budget cap</t>
  </si>
  <si>
    <t>3 — Hygiene</t>
  </si>
  <si>
    <t>Ongoing</t>
  </si>
  <si>
    <t>Dedupe, suppression list, opt-out handling, weekly data-quality report.</t>
  </si>
  <si>
    <t>—</t>
  </si>
  <si>
    <t>Risk / assumption</t>
  </si>
  <si>
    <t>Effect</t>
  </si>
  <si>
    <t>Mitigation</t>
  </si>
  <si>
    <t>CPLs are vendor benchmarks</t>
  </si>
  <si>
    <t>Budget could be 2–3× off</t>
  </si>
  <si>
    <t>Small test first; plan on cost per qualified lead</t>
  </si>
  <si>
    <t>Meta pre-filled forms</t>
  </si>
  <si>
    <t>Many low-intent / wrong numbers</t>
  </si>
  <si>
    <t>Higher-intent form, custom questions, OTP on landing page</t>
  </si>
  <si>
    <t>₹1 Cr+ is self-declared</t>
  </si>
  <si>
    <t>Over-statement of budget</t>
  </si>
  <si>
    <t>Qualify on call; show price in ad ("from ₹1.2 Cr") to deter low budgets</t>
  </si>
  <si>
    <t>Optional call-consent box lowers opt-in</t>
  </si>
  <si>
    <t>Fewer call-ready leads</t>
  </si>
  <si>
    <t>Offer WhatsApp-first follow-up, ask for call permission there</t>
  </si>
  <si>
    <t>Portal leads may be shared</t>
  </si>
  <si>
    <t>Competing brokers call same buyer</t>
  </si>
  <si>
    <t>Ask exclusivity in writing; price accordingly</t>
  </si>
  <si>
    <t>Regulatory change (DPDP tranches, TRAI)</t>
  </si>
  <si>
    <t>Process must change</t>
  </si>
  <si>
    <t>Legal review before scaling calls</t>
  </si>
  <si>
    <t>Duplicates across channels</t>
  </si>
  <si>
    <t>Inflated counts</t>
  </si>
  <si>
    <t>Phone-based dedupe on import</t>
  </si>
  <si>
    <t>Ad policy / MahaRERA non-compliance</t>
  </si>
  <si>
    <t>Ads rejected, penalties</t>
  </si>
  <si>
    <t>Registration no./QR on all creatives</t>
  </si>
  <si>
    <t>#</t>
  </si>
  <si>
    <t>Ask the provider (get answers in writing)</t>
  </si>
  <si>
    <t>Why</t>
  </si>
  <si>
    <t>Exact package price, GST, validity, auto-renewal, cancellation terms</t>
  </si>
  <si>
    <t>Avoid hidden charges</t>
  </si>
  <si>
    <t>Guaranteed number of buyer enquiries (not views/clicks) in Pune/MMR at ₹1 Cr+</t>
  </si>
  <si>
    <t>Most portals do not guarantee volume</t>
  </si>
  <si>
    <t>Are leads exclusive to me or shared with other advertisers? How many?</t>
  </si>
  <si>
    <t>Shared leads convert worse</t>
  </si>
  <si>
    <t>Lead fields supplied: name, phone, email, locality, budget, BHK, timeline, enquiry time</t>
  </si>
  <si>
    <t>Qualification needs these</t>
  </si>
  <si>
    <t>Exact consent wording the buyer agreed to; does it cover calls/WhatsApp from me about OTHER projects?</t>
  </si>
  <si>
    <t>DPDP/TRAI — purpose-specific consent</t>
  </si>
  <si>
    <t>Proof of consent per lead (timestamp, form, IP/OTP)</t>
  </si>
  <si>
    <t>Evidence if challenged</t>
  </si>
  <si>
    <t>Are numbers OTP-verified? Invalid/duplicate/wrong-number replacement or refund policy and time limit</t>
  </si>
  <si>
    <t>Protects spend</t>
  </si>
  <si>
    <t>Lead age at delivery (real-time vs historical) and delivery method (CSV/API/CRM)</t>
  </si>
  <si>
    <t>Fresh leads convert</t>
  </si>
  <si>
    <t>Eligibility: do I need MahaRERA agent registration, developer authorisation for listings?</t>
  </si>
  <si>
    <t>Avoid account blocks</t>
  </si>
  <si>
    <t>Data retention/deletion obligations and permitted uses after contract ends</t>
  </si>
  <si>
    <t>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</si>
</sst>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4E3D"/>
      <sz val="12"/>
    </font>
    <font>
      <b/>
      <color rgb="FFC00000"/>
    </font>
    <font>
      <b/>
    </font>
    <font>
      <b/>
      <color rgb="FFFFFFFF"/>
    </font>
    <font>
      <i/>
      <color rgb="FFC00000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0" fontId="0" fillId="2" borderId="0" xfId="0" applyFill="1"/>
    <xf numFmtId="9" fontId="0" fillId="2" borderId="0" xfId="0" applyNumberFormat="1" applyFill="1"/>
    <xf numFmtId="0" fontId="4" fillId="3" borderId="0" xfId="0" applyFont="1" applyFill="1"/>
    <xf numFmtId="1" fontId="0" fillId="2" borderId="0" xfId="0" applyNumberFormat="1" applyFill="1"/>
    <xf numFmtId="3" fontId="0" fillId="0" borderId="0" xfId="0" applyNumberFormat="1"/>
    <xf numFmtId="0" fontId="5" fillId="0" borderId="0" xfId="0" applyFont="1"/>
    <xf numFmtId="0" fontId="4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6" customWidth="1"/>
    <col min="2" max="2" width="120" customWidth="1"/>
  </cols>
  <sheetData>
    <row r="1" spans="1:1" s="1" customFormat="1" x14ac:dyDescent="0.25">
      <c r="A1" s="1" t="s">
        <v>0</v>
      </c>
    </row>
    <row r="2" spans="1:2" s="2" customFormat="1" x14ac:dyDescent="0.25">
      <c r="A2" s="2" t="s">
        <v>1</v>
      </c>
      <c r="B2" s="2" t="s">
        <v>2</v>
      </c>
    </row>
    <row r="3" spans="1:2" s="2" customFormat="1" x14ac:dyDescent="0.25">
      <c r="A3" s="2" t="s">
        <v>3</v>
      </c>
      <c r="B3" s="2" t="s">
        <v>4</v>
      </c>
    </row>
    <row r="4" spans="1:1" s="2" customFormat="1" x14ac:dyDescent="0.25">
      <c r="A4" s="2" t="s">
        <v>5</v>
      </c>
    </row>
    <row r="5" spans="1:1" s="1" customFormat="1" x14ac:dyDescent="0.25">
      <c r="A5" s="1" t="s">
        <v>6</v>
      </c>
    </row>
    <row r="6" spans="1:2" s="2" customFormat="1" x14ac:dyDescent="0.25">
      <c r="A6" s="2" t="s">
        <v>7</v>
      </c>
      <c r="B6" s="2" t="s">
        <v>8</v>
      </c>
    </row>
    <row r="7" spans="1:2" s="2" customFormat="1" x14ac:dyDescent="0.25">
      <c r="A7" s="2" t="s">
        <v>9</v>
      </c>
      <c r="B7" s="2" t="s">
        <v>10</v>
      </c>
    </row>
    <row r="8" spans="1:2" s="2" customFormat="1" x14ac:dyDescent="0.25">
      <c r="A8" s="2" t="s">
        <v>11</v>
      </c>
      <c r="B8" s="2" t="s">
        <v>12</v>
      </c>
    </row>
    <row r="9" spans="1:2" s="2" customFormat="1" x14ac:dyDescent="0.25">
      <c r="A9" s="2" t="s">
        <v>13</v>
      </c>
      <c r="B9" s="2" t="s">
        <v>14</v>
      </c>
    </row>
    <row r="10" spans="1:1" s="2" customFormat="1" x14ac:dyDescent="0.25">
      <c r="A10" s="2" t="s">
        <v>5</v>
      </c>
    </row>
    <row r="11" spans="1:2" s="2" customFormat="1" x14ac:dyDescent="0.25">
      <c r="A11" s="2" t="s">
        <v>15</v>
      </c>
      <c r="B11" s="2" t="s">
        <v>16</v>
      </c>
    </row>
    <row r="12" spans="1:2" s="2" customFormat="1" x14ac:dyDescent="0.25">
      <c r="A12" s="2" t="s">
        <v>17</v>
      </c>
      <c r="B12" s="2" t="s">
        <v>18</v>
      </c>
    </row>
    <row r="13" spans="1:2" s="2" customFormat="1" x14ac:dyDescent="0.25">
      <c r="A13" s="2" t="s">
        <v>19</v>
      </c>
      <c r="B13" s="2" t="s">
        <v>20</v>
      </c>
    </row>
    <row r="14" spans="1:2" s="2" customFormat="1" x14ac:dyDescent="0.25">
      <c r="A14" s="2" t="s">
        <v>21</v>
      </c>
      <c r="B14" s="2" t="s">
        <v>22</v>
      </c>
    </row>
    <row r="15" spans="1:2" s="2" customFormat="1" x14ac:dyDescent="0.25">
      <c r="A15" s="2" t="s">
        <v>23</v>
      </c>
      <c r="B15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52" customWidth="1"/>
    <col min="2" max="4" width="14" customWidth="1"/>
    <col min="5" max="5" width="70" customWidth="1"/>
  </cols>
  <sheetData>
    <row r="1" spans="1:1" s="3" customFormat="1" x14ac:dyDescent="0.25">
      <c r="A1" s="3" t="s">
        <v>25</v>
      </c>
    </row>
    <row r="3" spans="1:5" s="4" customFormat="1" x14ac:dyDescent="0.25">
      <c r="A3" s="4" t="s">
        <v>26</v>
      </c>
      <c r="B3" s="4" t="s">
        <v>27</v>
      </c>
      <c r="C3" s="4" t="s">
        <v>5</v>
      </c>
      <c r="D3" s="4" t="s">
        <v>5</v>
      </c>
      <c r="E3" s="4" t="s">
        <v>28</v>
      </c>
    </row>
    <row r="4" spans="1:5" x14ac:dyDescent="0.25">
      <c r="A4" t="s">
        <v>29</v>
      </c>
      <c r="B4" s="5">
        <v>500</v>
      </c>
      <c r="C4" t="s">
        <v>5</v>
      </c>
      <c r="D4" t="s">
        <v>5</v>
      </c>
      <c r="E4" t="s">
        <v>30</v>
      </c>
    </row>
    <row r="5" spans="1:5" x14ac:dyDescent="0.25">
      <c r="A5" t="s">
        <v>31</v>
      </c>
      <c r="B5" s="6">
        <v>0.18</v>
      </c>
      <c r="C5" t="s">
        <v>5</v>
      </c>
      <c r="D5" t="s">
        <v>5</v>
      </c>
      <c r="E5" t="s">
        <v>32</v>
      </c>
    </row>
    <row r="6" spans="1:5" x14ac:dyDescent="0.25">
      <c r="A6" t="s">
        <v>33</v>
      </c>
      <c r="B6" s="5">
        <v>10000</v>
      </c>
      <c r="C6" t="s">
        <v>5</v>
      </c>
      <c r="D6" t="s">
        <v>5</v>
      </c>
      <c r="E6" t="s">
        <v>34</v>
      </c>
    </row>
    <row r="8" spans="1:5" s="7" customFormat="1" x14ac:dyDescent="0.25">
      <c r="A8" s="7" t="s">
        <v>35</v>
      </c>
      <c r="B8" s="7" t="s">
        <v>36</v>
      </c>
      <c r="C8" s="7" t="s">
        <v>37</v>
      </c>
      <c r="D8" s="7" t="s">
        <v>38</v>
      </c>
      <c r="E8" s="7" t="s">
        <v>28</v>
      </c>
    </row>
    <row r="9" spans="1:5" x14ac:dyDescent="0.25">
      <c r="A9" t="s">
        <v>39</v>
      </c>
      <c r="B9" s="8">
        <v>2000</v>
      </c>
      <c r="C9" s="8">
        <v>1300</v>
      </c>
      <c r="D9" s="8">
        <v>800</v>
      </c>
      <c r="E9" t="s">
        <v>40</v>
      </c>
    </row>
    <row r="10" spans="1:5" x14ac:dyDescent="0.25">
      <c r="A10" t="s">
        <v>41</v>
      </c>
      <c r="B10" s="6">
        <v>0.85</v>
      </c>
      <c r="C10" s="6">
        <v>0.9</v>
      </c>
      <c r="D10" s="6">
        <v>0.93</v>
      </c>
      <c r="E10" t="s">
        <v>42</v>
      </c>
    </row>
    <row r="11" spans="1:5" x14ac:dyDescent="0.25">
      <c r="A11" t="s">
        <v>43</v>
      </c>
      <c r="B11" s="6">
        <v>0.05</v>
      </c>
      <c r="C11" s="6">
        <v>0.04</v>
      </c>
      <c r="D11" s="6">
        <v>0.03</v>
      </c>
      <c r="E11" t="s">
        <v>44</v>
      </c>
    </row>
    <row r="12" spans="1:5" x14ac:dyDescent="0.25">
      <c r="A12" t="s">
        <v>45</v>
      </c>
      <c r="B12" s="6">
        <v>0.2</v>
      </c>
      <c r="C12" s="6">
        <v>0.3</v>
      </c>
      <c r="D12" s="6">
        <v>0.4</v>
      </c>
      <c r="E12" t="s">
        <v>46</v>
      </c>
    </row>
    <row r="13" spans="1:5" x14ac:dyDescent="0.25">
      <c r="A13" t="s">
        <v>47</v>
      </c>
      <c r="B13" s="6">
        <v>0.6</v>
      </c>
      <c r="C13" s="6">
        <v>0.75</v>
      </c>
      <c r="D13" s="6">
        <v>0.85</v>
      </c>
      <c r="E13" t="s">
        <v>48</v>
      </c>
    </row>
    <row r="15" spans="1:5" s="7" customFormat="1" x14ac:dyDescent="0.25">
      <c r="A15" s="7" t="s">
        <v>49</v>
      </c>
      <c r="B15" s="7" t="s">
        <v>36</v>
      </c>
      <c r="C15" s="7" t="s">
        <v>37</v>
      </c>
      <c r="D15" s="7" t="s">
        <v>38</v>
      </c>
      <c r="E15" s="7" t="s">
        <v>28</v>
      </c>
    </row>
    <row r="16" spans="1:5" x14ac:dyDescent="0.25">
      <c r="A16" t="s">
        <v>39</v>
      </c>
      <c r="B16" s="8">
        <v>1500</v>
      </c>
      <c r="C16" s="8">
        <v>900</v>
      </c>
      <c r="D16" s="8">
        <v>500</v>
      </c>
      <c r="E16" t="s">
        <v>50</v>
      </c>
    </row>
    <row r="17" spans="1:5" x14ac:dyDescent="0.25">
      <c r="A17" t="s">
        <v>41</v>
      </c>
      <c r="B17" s="6">
        <v>0.7</v>
      </c>
      <c r="C17" s="6">
        <v>0.8</v>
      </c>
      <c r="D17" s="6">
        <v>0.88</v>
      </c>
      <c r="E17" t="s">
        <v>42</v>
      </c>
    </row>
    <row r="18" spans="1:5" x14ac:dyDescent="0.25">
      <c r="A18" t="s">
        <v>43</v>
      </c>
      <c r="B18" s="6">
        <v>0.1</v>
      </c>
      <c r="C18" s="6">
        <v>0.07</v>
      </c>
      <c r="D18" s="6">
        <v>0.05</v>
      </c>
      <c r="E18" t="s">
        <v>44</v>
      </c>
    </row>
    <row r="19" spans="1:5" x14ac:dyDescent="0.25">
      <c r="A19" t="s">
        <v>45</v>
      </c>
      <c r="B19" s="6">
        <v>0.1</v>
      </c>
      <c r="C19" s="6">
        <v>0.2</v>
      </c>
      <c r="D19" s="6">
        <v>0.3</v>
      </c>
      <c r="E19" t="s">
        <v>46</v>
      </c>
    </row>
    <row r="20" spans="1:5" x14ac:dyDescent="0.25">
      <c r="A20" t="s">
        <v>47</v>
      </c>
      <c r="B20" s="6">
        <v>0.5</v>
      </c>
      <c r="C20" s="6">
        <v>0.65</v>
      </c>
      <c r="D20" s="6">
        <v>0.8</v>
      </c>
      <c r="E20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58" customWidth="1"/>
    <col min="2" max="4" width="18" customWidth="1"/>
    <col min="5" max="5" width="70" customWidth="1"/>
  </cols>
  <sheetData>
    <row r="1" spans="1:5" s="7" customFormat="1" x14ac:dyDescent="0.25">
      <c r="A1" s="7" t="s">
        <v>35</v>
      </c>
      <c r="B1" s="7" t="s">
        <v>36</v>
      </c>
      <c r="C1" s="7" t="s">
        <v>37</v>
      </c>
      <c r="D1" s="7" t="s">
        <v>38</v>
      </c>
      <c r="E1" s="7" t="s">
        <v>51</v>
      </c>
    </row>
    <row r="2" spans="1:5" x14ac:dyDescent="0.25">
      <c r="A2" t="s">
        <v>52</v>
      </c>
      <c r="B2" s="9">
        <f>'Inputs (assumptions)'!$B$4*'Inputs (assumptions)'!B9*(1+'Inputs (assumptions)'!$B$5)</f>
        <v>1180000</v>
      </c>
      <c r="C2" s="9">
        <f>'Inputs (assumptions)'!$B$4*'Inputs (assumptions)'!C9*(1+'Inputs (assumptions)'!$B$5)</f>
        <v>767000</v>
      </c>
      <c r="D2" s="9">
        <f>'Inputs (assumptions)'!$B$4*'Inputs (assumptions)'!D9*(1+'Inputs (assumptions)'!$B$5)</f>
        <v>472000</v>
      </c>
      <c r="E2" t="s">
        <v>53</v>
      </c>
    </row>
    <row r="3" spans="1:5" x14ac:dyDescent="0.25">
      <c r="A3" t="s">
        <v>54</v>
      </c>
      <c r="B3" s="9">
        <f>ROUND('Inputs (assumptions)'!$B$4*'Inputs (assumptions)'!B10*(1-'Inputs (assumptions)'!B11),0)</f>
        <v>404</v>
      </c>
      <c r="C3" s="9">
        <f>ROUND('Inputs (assumptions)'!$B$4*'Inputs (assumptions)'!C10*(1-'Inputs (assumptions)'!C11),0)</f>
        <v>432</v>
      </c>
      <c r="D3" s="9">
        <f>ROUND('Inputs (assumptions)'!$B$4*'Inputs (assumptions)'!D10*(1-'Inputs (assumptions)'!D11),0)</f>
        <v>451</v>
      </c>
      <c r="E3" t="s">
        <v>55</v>
      </c>
    </row>
    <row r="4" spans="1:5" x14ac:dyDescent="0.25">
      <c r="A4" t="s">
        <v>56</v>
      </c>
      <c r="B4" s="9">
        <f>ROUNDUP('Inputs (assumptions)'!$B$4/('Inputs (assumptions)'!B10*(1-'Inputs (assumptions)'!B11)),0)</f>
        <v>620</v>
      </c>
      <c r="C4" s="9">
        <f>ROUNDUP('Inputs (assumptions)'!$B$4/('Inputs (assumptions)'!C10*(1-'Inputs (assumptions)'!C11)),0)</f>
        <v>579</v>
      </c>
      <c r="D4" s="9">
        <f>ROUNDUP('Inputs (assumptions)'!$B$4/('Inputs (assumptions)'!D10*(1-'Inputs (assumptions)'!D11)),0)</f>
        <v>555</v>
      </c>
      <c r="E4" t="s">
        <v>57</v>
      </c>
    </row>
    <row r="5" spans="1:5" x14ac:dyDescent="0.25">
      <c r="A5" t="s">
        <v>58</v>
      </c>
      <c r="B5" s="9">
        <f>ROUNDUP('Inputs (assumptions)'!$B$4/('Inputs (assumptions)'!B10*(1-'Inputs (assumptions)'!B11)),0)*'Inputs (assumptions)'!B9*(1+'Inputs (assumptions)'!$B$5)</f>
        <v>1463200</v>
      </c>
      <c r="C5" s="9">
        <f>ROUNDUP('Inputs (assumptions)'!$B$4/('Inputs (assumptions)'!C10*(1-'Inputs (assumptions)'!C11)),0)*'Inputs (assumptions)'!C9*(1+'Inputs (assumptions)'!$B$5)</f>
        <v>888186</v>
      </c>
      <c r="D5" s="9">
        <f>ROUNDUP('Inputs (assumptions)'!$B$4/('Inputs (assumptions)'!D10*(1-'Inputs (assumptions)'!D11)),0)*'Inputs (assumptions)'!D9*(1+'Inputs (assumptions)'!$B$5)</f>
        <v>523920</v>
      </c>
      <c r="E5" t="s">
        <v>59</v>
      </c>
    </row>
    <row r="6" spans="1:5" x14ac:dyDescent="0.25">
      <c r="A6" t="s">
        <v>60</v>
      </c>
      <c r="B6" s="9">
        <f>ROUND('Inputs (assumptions)'!$B$4*'Inputs (assumptions)'!B10*(1-'Inputs (assumptions)'!B11)*'Inputs (assumptions)'!B12,0)</f>
        <v>81</v>
      </c>
      <c r="C6" s="9">
        <f>ROUND('Inputs (assumptions)'!$B$4*'Inputs (assumptions)'!C10*(1-'Inputs (assumptions)'!C11)*'Inputs (assumptions)'!C12,0)</f>
        <v>130</v>
      </c>
      <c r="D6" s="9">
        <f>ROUND('Inputs (assumptions)'!$B$4*'Inputs (assumptions)'!D10*(1-'Inputs (assumptions)'!D11)*'Inputs (assumptions)'!D12,0)</f>
        <v>180</v>
      </c>
      <c r="E6" t="s">
        <v>61</v>
      </c>
    </row>
    <row r="7" spans="1:5" x14ac:dyDescent="0.25">
      <c r="A7" t="s">
        <v>62</v>
      </c>
      <c r="B7" s="9">
        <f>ROUNDUP('Inputs (assumptions)'!$B$4/('Inputs (assumptions)'!B10*(1-'Inputs (assumptions)'!B11)*'Inputs (assumptions)'!B12),0)</f>
        <v>3096</v>
      </c>
      <c r="C7" s="9">
        <f>ROUNDUP('Inputs (assumptions)'!$B$4/('Inputs (assumptions)'!C10*(1-'Inputs (assumptions)'!C11)*'Inputs (assumptions)'!C12),0)</f>
        <v>1930</v>
      </c>
      <c r="D7" s="9">
        <f>ROUNDUP('Inputs (assumptions)'!$B$4/('Inputs (assumptions)'!D10*(1-'Inputs (assumptions)'!D11)*'Inputs (assumptions)'!D12),0)</f>
        <v>1386</v>
      </c>
      <c r="E7" t="s">
        <v>63</v>
      </c>
    </row>
    <row r="8" spans="1:5" x14ac:dyDescent="0.25">
      <c r="A8" t="s">
        <v>64</v>
      </c>
      <c r="B8" s="9">
        <f>ROUNDUP('Inputs (assumptions)'!$B$4/('Inputs (assumptions)'!B10*(1-'Inputs (assumptions)'!B11)*'Inputs (assumptions)'!B12),0)*'Inputs (assumptions)'!B9*(1+'Inputs (assumptions)'!$B$5)</f>
        <v>7306560</v>
      </c>
      <c r="C8" s="9">
        <f>ROUNDUP('Inputs (assumptions)'!$B$4/('Inputs (assumptions)'!C10*(1-'Inputs (assumptions)'!C11)*'Inputs (assumptions)'!C12),0)*'Inputs (assumptions)'!C9*(1+'Inputs (assumptions)'!$B$5)</f>
        <v>2960620</v>
      </c>
      <c r="D8" s="9">
        <f>ROUNDUP('Inputs (assumptions)'!$B$4/('Inputs (assumptions)'!D10*(1-'Inputs (assumptions)'!D11)*'Inputs (assumptions)'!D12),0)*'Inputs (assumptions)'!D9*(1+'Inputs (assumptions)'!$B$5)</f>
        <v>1308384</v>
      </c>
      <c r="E8" t="s">
        <v>59</v>
      </c>
    </row>
    <row r="9" spans="1:5" x14ac:dyDescent="0.25">
      <c r="A9" t="s">
        <v>65</v>
      </c>
      <c r="B9" s="9">
        <f>ROUNDUP('Inputs (assumptions)'!$B$4/('Inputs (assumptions)'!B10*(1-'Inputs (assumptions)'!B11)*'Inputs (assumptions)'!B12*'Inputs (assumptions)'!B13),0)</f>
        <v>5160</v>
      </c>
      <c r="C9" s="9">
        <f>ROUNDUP('Inputs (assumptions)'!$B$4/('Inputs (assumptions)'!C10*(1-'Inputs (assumptions)'!C11)*'Inputs (assumptions)'!C12*'Inputs (assumptions)'!C13),0)</f>
        <v>2573</v>
      </c>
      <c r="D9" s="9">
        <f>ROUNDUP('Inputs (assumptions)'!$B$4/('Inputs (assumptions)'!D10*(1-'Inputs (assumptions)'!D11)*'Inputs (assumptions)'!D12*'Inputs (assumptions)'!D13),0)</f>
        <v>1631</v>
      </c>
      <c r="E9" t="s">
        <v>66</v>
      </c>
    </row>
    <row r="10" spans="1:5" x14ac:dyDescent="0.25">
      <c r="A10" t="s">
        <v>67</v>
      </c>
      <c r="B10" s="9">
        <f>ROUNDUP('Inputs (assumptions)'!$B$4/('Inputs (assumptions)'!B10*(1-'Inputs (assumptions)'!B11)*'Inputs (assumptions)'!B12*'Inputs (assumptions)'!B13),0)*'Inputs (assumptions)'!B9*(1+'Inputs (assumptions)'!$B$5)</f>
        <v>12177600</v>
      </c>
      <c r="C10" s="9">
        <f>ROUNDUP('Inputs (assumptions)'!$B$4/('Inputs (assumptions)'!C10*(1-'Inputs (assumptions)'!C11)*'Inputs (assumptions)'!C12*'Inputs (assumptions)'!C13),0)*'Inputs (assumptions)'!C9*(1+'Inputs (assumptions)'!$B$5)</f>
        <v>3946982</v>
      </c>
      <c r="D10" s="9">
        <f>ROUNDUP('Inputs (assumptions)'!$B$4/('Inputs (assumptions)'!D10*(1-'Inputs (assumptions)'!D11)*'Inputs (assumptions)'!D12*'Inputs (assumptions)'!D13),0)*'Inputs (assumptions)'!D9*(1+'Inputs (assumptions)'!$B$5)</f>
        <v>1539664</v>
      </c>
      <c r="E10" t="s">
        <v>59</v>
      </c>
    </row>
    <row r="11" spans="1:5" x14ac:dyDescent="0.25">
      <c r="A11" t="s">
        <v>68</v>
      </c>
      <c r="B11" s="9">
        <f>ROUNDUP('Inputs (assumptions)'!$B$4*'Inputs (assumptions)'!B9*(1+'Inputs (assumptions)'!$B$5)/'Inputs (assumptions)'!$B$6,0)</f>
        <v>118</v>
      </c>
      <c r="C11" s="9">
        <f>ROUNDUP('Inputs (assumptions)'!$B$4*'Inputs (assumptions)'!C9*(1+'Inputs (assumptions)'!$B$5)/'Inputs (assumptions)'!$B$6,0)</f>
        <v>77</v>
      </c>
      <c r="D11" s="9">
        <f>ROUNDUP('Inputs (assumptions)'!$B$4*'Inputs (assumptions)'!D9*(1+'Inputs (assumptions)'!$B$5)/'Inputs (assumptions)'!$B$6,0)</f>
        <v>48</v>
      </c>
      <c r="E11" t="s">
        <v>69</v>
      </c>
    </row>
    <row r="12" spans="1:5" x14ac:dyDescent="0.25">
      <c r="A12" t="s">
        <v>70</v>
      </c>
      <c r="B12" s="9">
        <f>ROUNDUP(ROUNDUP('Inputs (assumptions)'!$B$4/('Inputs (assumptions)'!B10*(1-'Inputs (assumptions)'!B11)*'Inputs (assumptions)'!B12),0)*'Inputs (assumptions)'!B9*(1+'Inputs (assumptions)'!$B$5)/'Inputs (assumptions)'!$B$6,0)</f>
        <v>731</v>
      </c>
      <c r="C12" s="9">
        <f>ROUNDUP(ROUNDUP('Inputs (assumptions)'!$B$4/('Inputs (assumptions)'!C10*(1-'Inputs (assumptions)'!C11)*'Inputs (assumptions)'!C12),0)*'Inputs (assumptions)'!C9*(1+'Inputs (assumptions)'!$B$5)/'Inputs (assumptions)'!$B$6,0)</f>
        <v>297</v>
      </c>
      <c r="D12" s="9">
        <f>ROUNDUP(ROUNDUP('Inputs (assumptions)'!$B$4/('Inputs (assumptions)'!D10*(1-'Inputs (assumptions)'!D11)*'Inputs (assumptions)'!D12),0)*'Inputs (assumptions)'!D9*(1+'Inputs (assumptions)'!$B$5)/'Inputs (assumptions)'!$B$6,0)</f>
        <v>131</v>
      </c>
      <c r="E12" t="s">
        <v>69</v>
      </c>
    </row>
    <row r="14" spans="1:5" s="7" customFormat="1" x14ac:dyDescent="0.25">
      <c r="A14" s="7" t="s">
        <v>49</v>
      </c>
      <c r="B14" s="7" t="s">
        <v>36</v>
      </c>
      <c r="C14" s="7" t="s">
        <v>37</v>
      </c>
      <c r="D14" s="7" t="s">
        <v>38</v>
      </c>
      <c r="E14" s="7" t="s">
        <v>51</v>
      </c>
    </row>
    <row r="15" spans="1:5" x14ac:dyDescent="0.25">
      <c r="A15" t="s">
        <v>52</v>
      </c>
      <c r="B15" s="9">
        <f>'Inputs (assumptions)'!$B$4*'Inputs (assumptions)'!B16*(1+'Inputs (assumptions)'!$B$5)</f>
        <v>885000</v>
      </c>
      <c r="C15" s="9">
        <f>'Inputs (assumptions)'!$B$4*'Inputs (assumptions)'!C16*(1+'Inputs (assumptions)'!$B$5)</f>
        <v>531000</v>
      </c>
      <c r="D15" s="9">
        <f>'Inputs (assumptions)'!$B$4*'Inputs (assumptions)'!D16*(1+'Inputs (assumptions)'!$B$5)</f>
        <v>295000</v>
      </c>
      <c r="E15" t="s">
        <v>53</v>
      </c>
    </row>
    <row r="16" spans="1:5" x14ac:dyDescent="0.25">
      <c r="A16" t="s">
        <v>54</v>
      </c>
      <c r="B16" s="9">
        <f>ROUND('Inputs (assumptions)'!$B$4*'Inputs (assumptions)'!B17*(1-'Inputs (assumptions)'!B18),0)</f>
        <v>315</v>
      </c>
      <c r="C16" s="9">
        <f>ROUND('Inputs (assumptions)'!$B$4*'Inputs (assumptions)'!C17*(1-'Inputs (assumptions)'!C18),0)</f>
        <v>372</v>
      </c>
      <c r="D16" s="9">
        <f>ROUND('Inputs (assumptions)'!$B$4*'Inputs (assumptions)'!D17*(1-'Inputs (assumptions)'!D18),0)</f>
        <v>418</v>
      </c>
      <c r="E16" t="s">
        <v>55</v>
      </c>
    </row>
    <row r="17" spans="1:5" x14ac:dyDescent="0.25">
      <c r="A17" t="s">
        <v>56</v>
      </c>
      <c r="B17" s="9">
        <f>ROUNDUP('Inputs (assumptions)'!$B$4/('Inputs (assumptions)'!B17*(1-'Inputs (assumptions)'!B18)),0)</f>
        <v>794</v>
      </c>
      <c r="C17" s="9">
        <f>ROUNDUP('Inputs (assumptions)'!$B$4/('Inputs (assumptions)'!C17*(1-'Inputs (assumptions)'!C18)),0)</f>
        <v>673</v>
      </c>
      <c r="D17" s="9">
        <f>ROUNDUP('Inputs (assumptions)'!$B$4/('Inputs (assumptions)'!D17*(1-'Inputs (assumptions)'!D18)),0)</f>
        <v>599</v>
      </c>
      <c r="E17" t="s">
        <v>57</v>
      </c>
    </row>
    <row r="18" spans="1:5" x14ac:dyDescent="0.25">
      <c r="A18" t="s">
        <v>58</v>
      </c>
      <c r="B18" s="9">
        <f>ROUNDUP('Inputs (assumptions)'!$B$4/('Inputs (assumptions)'!B17*(1-'Inputs (assumptions)'!B18)),0)*'Inputs (assumptions)'!B16*(1+'Inputs (assumptions)'!$B$5)</f>
        <v>1405380</v>
      </c>
      <c r="C18" s="9">
        <f>ROUNDUP('Inputs (assumptions)'!$B$4/('Inputs (assumptions)'!C17*(1-'Inputs (assumptions)'!C18)),0)*'Inputs (assumptions)'!C16*(1+'Inputs (assumptions)'!$B$5)</f>
        <v>714726</v>
      </c>
      <c r="D18" s="9">
        <f>ROUNDUP('Inputs (assumptions)'!$B$4/('Inputs (assumptions)'!D17*(1-'Inputs (assumptions)'!D18)),0)*'Inputs (assumptions)'!D16*(1+'Inputs (assumptions)'!$B$5)</f>
        <v>353410</v>
      </c>
      <c r="E18" t="s">
        <v>59</v>
      </c>
    </row>
    <row r="19" spans="1:5" x14ac:dyDescent="0.25">
      <c r="A19" t="s">
        <v>60</v>
      </c>
      <c r="B19" s="9">
        <f>ROUND('Inputs (assumptions)'!$B$4*'Inputs (assumptions)'!B17*(1-'Inputs (assumptions)'!B18)*'Inputs (assumptions)'!B19,0)</f>
        <v>32</v>
      </c>
      <c r="C19" s="9">
        <f>ROUND('Inputs (assumptions)'!$B$4*'Inputs (assumptions)'!C17*(1-'Inputs (assumptions)'!C18)*'Inputs (assumptions)'!C19,0)</f>
        <v>74</v>
      </c>
      <c r="D19" s="9">
        <f>ROUND('Inputs (assumptions)'!$B$4*'Inputs (assumptions)'!D17*(1-'Inputs (assumptions)'!D18)*'Inputs (assumptions)'!D19,0)</f>
        <v>125</v>
      </c>
      <c r="E19" t="s">
        <v>61</v>
      </c>
    </row>
    <row r="20" spans="1:5" x14ac:dyDescent="0.25">
      <c r="A20" t="s">
        <v>62</v>
      </c>
      <c r="B20" s="9">
        <f>ROUNDUP('Inputs (assumptions)'!$B$4/('Inputs (assumptions)'!B17*(1-'Inputs (assumptions)'!B18)*'Inputs (assumptions)'!B19),0)</f>
        <v>7937</v>
      </c>
      <c r="C20" s="9">
        <f>ROUNDUP('Inputs (assumptions)'!$B$4/('Inputs (assumptions)'!C17*(1-'Inputs (assumptions)'!C18)*'Inputs (assumptions)'!C19),0)</f>
        <v>3361</v>
      </c>
      <c r="D20" s="9">
        <f>ROUNDUP('Inputs (assumptions)'!$B$4/('Inputs (assumptions)'!D17*(1-'Inputs (assumptions)'!D18)*'Inputs (assumptions)'!D19),0)</f>
        <v>1994</v>
      </c>
      <c r="E20" t="s">
        <v>63</v>
      </c>
    </row>
    <row r="21" spans="1:5" x14ac:dyDescent="0.25">
      <c r="A21" t="s">
        <v>64</v>
      </c>
      <c r="B21" s="9">
        <f>ROUNDUP('Inputs (assumptions)'!$B$4/('Inputs (assumptions)'!B17*(1-'Inputs (assumptions)'!B18)*'Inputs (assumptions)'!B19),0)*'Inputs (assumptions)'!B16*(1+'Inputs (assumptions)'!$B$5)</f>
        <v>14048490</v>
      </c>
      <c r="C21" s="9">
        <f>ROUNDUP('Inputs (assumptions)'!$B$4/('Inputs (assumptions)'!C17*(1-'Inputs (assumptions)'!C18)*'Inputs (assumptions)'!C19),0)*'Inputs (assumptions)'!C16*(1+'Inputs (assumptions)'!$B$5)</f>
        <v>3569382</v>
      </c>
      <c r="D21" s="9">
        <f>ROUNDUP('Inputs (assumptions)'!$B$4/('Inputs (assumptions)'!D17*(1-'Inputs (assumptions)'!D18)*'Inputs (assumptions)'!D19),0)*'Inputs (assumptions)'!D16*(1+'Inputs (assumptions)'!$B$5)</f>
        <v>1176460</v>
      </c>
      <c r="E21" t="s">
        <v>59</v>
      </c>
    </row>
    <row r="22" spans="1:5" x14ac:dyDescent="0.25">
      <c r="A22" t="s">
        <v>65</v>
      </c>
      <c r="B22" s="9">
        <f>ROUNDUP('Inputs (assumptions)'!$B$4/('Inputs (assumptions)'!B17*(1-'Inputs (assumptions)'!B18)*'Inputs (assumptions)'!B19*'Inputs (assumptions)'!B20),0)</f>
        <v>15874</v>
      </c>
      <c r="C22" s="9">
        <f>ROUNDUP('Inputs (assumptions)'!$B$4/('Inputs (assumptions)'!C17*(1-'Inputs (assumptions)'!C18)*'Inputs (assumptions)'!C19*'Inputs (assumptions)'!C20),0)</f>
        <v>5170</v>
      </c>
      <c r="D22" s="9">
        <f>ROUNDUP('Inputs (assumptions)'!$B$4/('Inputs (assumptions)'!D17*(1-'Inputs (assumptions)'!D18)*'Inputs (assumptions)'!D19*'Inputs (assumptions)'!D20),0)</f>
        <v>2493</v>
      </c>
      <c r="E22" t="s">
        <v>66</v>
      </c>
    </row>
    <row r="23" spans="1:5" x14ac:dyDescent="0.25">
      <c r="A23" t="s">
        <v>67</v>
      </c>
      <c r="B23" s="9">
        <f>ROUNDUP('Inputs (assumptions)'!$B$4/('Inputs (assumptions)'!B17*(1-'Inputs (assumptions)'!B18)*'Inputs (assumptions)'!B19*'Inputs (assumptions)'!B20),0)*'Inputs (assumptions)'!B16*(1+'Inputs (assumptions)'!$B$5)</f>
        <v>28096980</v>
      </c>
      <c r="C23" s="9">
        <f>ROUNDUP('Inputs (assumptions)'!$B$4/('Inputs (assumptions)'!C17*(1-'Inputs (assumptions)'!C18)*'Inputs (assumptions)'!C19*'Inputs (assumptions)'!C20),0)*'Inputs (assumptions)'!C16*(1+'Inputs (assumptions)'!$B$5)</f>
        <v>5490540</v>
      </c>
      <c r="D23" s="9">
        <f>ROUNDUP('Inputs (assumptions)'!$B$4/('Inputs (assumptions)'!D17*(1-'Inputs (assumptions)'!D18)*'Inputs (assumptions)'!D19*'Inputs (assumptions)'!D20),0)*'Inputs (assumptions)'!D16*(1+'Inputs (assumptions)'!$B$5)</f>
        <v>1470870</v>
      </c>
      <c r="E23" t="s">
        <v>59</v>
      </c>
    </row>
    <row r="24" spans="1:5" x14ac:dyDescent="0.25">
      <c r="A24" t="s">
        <v>68</v>
      </c>
      <c r="B24" s="9">
        <f>ROUNDUP('Inputs (assumptions)'!$B$4*'Inputs (assumptions)'!B16*(1+'Inputs (assumptions)'!$B$5)/'Inputs (assumptions)'!$B$6,0)</f>
        <v>89</v>
      </c>
      <c r="C24" s="9">
        <f>ROUNDUP('Inputs (assumptions)'!$B$4*'Inputs (assumptions)'!C16*(1+'Inputs (assumptions)'!$B$5)/'Inputs (assumptions)'!$B$6,0)</f>
        <v>54</v>
      </c>
      <c r="D24" s="9">
        <f>ROUNDUP('Inputs (assumptions)'!$B$4*'Inputs (assumptions)'!D16*(1+'Inputs (assumptions)'!$B$5)/'Inputs (assumptions)'!$B$6,0)</f>
        <v>30</v>
      </c>
      <c r="E24" t="s">
        <v>69</v>
      </c>
    </row>
    <row r="25" spans="1:5" x14ac:dyDescent="0.25">
      <c r="A25" t="s">
        <v>70</v>
      </c>
      <c r="B25" s="9">
        <f>ROUNDUP(ROUNDUP('Inputs (assumptions)'!$B$4/('Inputs (assumptions)'!B17*(1-'Inputs (assumptions)'!B18)*'Inputs (assumptions)'!B19),0)*'Inputs (assumptions)'!B16*(1+'Inputs (assumptions)'!$B$5)/'Inputs (assumptions)'!$B$6,0)</f>
        <v>1405</v>
      </c>
      <c r="C25" s="9">
        <f>ROUNDUP(ROUNDUP('Inputs (assumptions)'!$B$4/('Inputs (assumptions)'!C17*(1-'Inputs (assumptions)'!C18)*'Inputs (assumptions)'!C19),0)*'Inputs (assumptions)'!C16*(1+'Inputs (assumptions)'!$B$5)/'Inputs (assumptions)'!$B$6,0)</f>
        <v>357</v>
      </c>
      <c r="D25" s="9">
        <f>ROUNDUP(ROUNDUP('Inputs (assumptions)'!$B$4/('Inputs (assumptions)'!D17*(1-'Inputs (assumptions)'!D18)*'Inputs (assumptions)'!D19),0)*'Inputs (assumptions)'!D16*(1+'Inputs (assumptions)'!$B$5)/'Inputs (assumptions)'!$B$6,0)</f>
        <v>118</v>
      </c>
      <c r="E25" t="s">
        <v>69</v>
      </c>
    </row>
    <row r="27" spans="1:1" s="10" customFormat="1" x14ac:dyDescent="0.25">
      <c r="A27" s="10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10" customWidth="1"/>
    <col min="3" max="3" width="70" customWidth="1"/>
    <col min="4" max="4" width="20" customWidth="1"/>
    <col min="5" max="5" width="50" customWidth="1"/>
  </cols>
  <sheetData>
    <row r="1" ht="34" customHeight="1" spans="1:5" s="11" customFormat="1" x14ac:dyDescent="0.25">
      <c r="A1" s="11" t="s">
        <v>72</v>
      </c>
      <c r="B1" s="11" t="s">
        <v>73</v>
      </c>
      <c r="C1" s="11" t="s">
        <v>74</v>
      </c>
      <c r="D1" s="11" t="s">
        <v>75</v>
      </c>
      <c r="E1" s="11" t="s">
        <v>76</v>
      </c>
    </row>
    <row r="2" spans="1:5" s="2" customFormat="1" x14ac:dyDescent="0.25">
      <c r="A2" s="2" t="s">
        <v>77</v>
      </c>
      <c r="B2" s="2" t="s">
        <v>78</v>
      </c>
      <c r="C2" s="2" t="s">
        <v>79</v>
      </c>
      <c r="D2" s="2" t="s">
        <v>80</v>
      </c>
      <c r="E2" s="2" t="s">
        <v>81</v>
      </c>
    </row>
    <row r="3" spans="1:5" s="2" customFormat="1" x14ac:dyDescent="0.25">
      <c r="A3" s="2" t="s">
        <v>82</v>
      </c>
      <c r="B3" s="2" t="s">
        <v>83</v>
      </c>
      <c r="C3" s="2" t="s">
        <v>84</v>
      </c>
      <c r="D3" s="2" t="s">
        <v>85</v>
      </c>
      <c r="E3" s="2" t="s">
        <v>86</v>
      </c>
    </row>
    <row r="4" spans="1:5" s="2" customFormat="1" x14ac:dyDescent="0.25">
      <c r="A4" s="2" t="s">
        <v>87</v>
      </c>
      <c r="B4" s="2" t="s">
        <v>83</v>
      </c>
      <c r="C4" s="2" t="s">
        <v>88</v>
      </c>
      <c r="D4" s="2" t="s">
        <v>89</v>
      </c>
      <c r="E4" s="2" t="s">
        <v>90</v>
      </c>
    </row>
    <row r="5" spans="1:5" s="2" customFormat="1" x14ac:dyDescent="0.25">
      <c r="A5" s="2" t="s">
        <v>91</v>
      </c>
      <c r="B5" s="2" t="s">
        <v>92</v>
      </c>
      <c r="C5" s="2" t="s">
        <v>93</v>
      </c>
      <c r="D5" s="2" t="s">
        <v>94</v>
      </c>
      <c r="E5" s="2" t="s">
        <v>95</v>
      </c>
    </row>
    <row r="6" spans="1:5" s="2" customFormat="1" x14ac:dyDescent="0.25">
      <c r="A6" s="2" t="s">
        <v>96</v>
      </c>
      <c r="B6" s="2" t="s">
        <v>97</v>
      </c>
      <c r="C6" s="2" t="s">
        <v>98</v>
      </c>
      <c r="D6" s="2" t="s">
        <v>99</v>
      </c>
      <c r="E6" s="2" t="s">
        <v>99</v>
      </c>
    </row>
  </sheetData>
  <autoFilter ref="A1:E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4" customWidth="1"/>
    <col min="2" max="2" width="50" customWidth="1"/>
    <col min="3" max="3" width="60" customWidth="1"/>
  </cols>
  <sheetData>
    <row r="1" ht="34" customHeight="1" spans="1:3" s="11" customFormat="1" x14ac:dyDescent="0.25">
      <c r="A1" s="11" t="s">
        <v>100</v>
      </c>
      <c r="B1" s="11" t="s">
        <v>101</v>
      </c>
      <c r="C1" s="11" t="s">
        <v>102</v>
      </c>
    </row>
    <row r="2" spans="1:3" s="2" customFormat="1" x14ac:dyDescent="0.25">
      <c r="A2" s="2" t="s">
        <v>103</v>
      </c>
      <c r="B2" s="2" t="s">
        <v>104</v>
      </c>
      <c r="C2" s="2" t="s">
        <v>105</v>
      </c>
    </row>
    <row r="3" spans="1:3" s="2" customFormat="1" x14ac:dyDescent="0.25">
      <c r="A3" s="2" t="s">
        <v>106</v>
      </c>
      <c r="B3" s="2" t="s">
        <v>107</v>
      </c>
      <c r="C3" s="2" t="s">
        <v>108</v>
      </c>
    </row>
    <row r="4" spans="1:3" s="2" customFormat="1" x14ac:dyDescent="0.25">
      <c r="A4" s="2" t="s">
        <v>109</v>
      </c>
      <c r="B4" s="2" t="s">
        <v>110</v>
      </c>
      <c r="C4" s="2" t="s">
        <v>111</v>
      </c>
    </row>
    <row r="5" spans="1:3" s="2" customFormat="1" x14ac:dyDescent="0.25">
      <c r="A5" s="2" t="s">
        <v>112</v>
      </c>
      <c r="B5" s="2" t="s">
        <v>113</v>
      </c>
      <c r="C5" s="2" t="s">
        <v>114</v>
      </c>
    </row>
    <row r="6" spans="1:3" s="2" customFormat="1" x14ac:dyDescent="0.25">
      <c r="A6" s="2" t="s">
        <v>115</v>
      </c>
      <c r="B6" s="2" t="s">
        <v>116</v>
      </c>
      <c r="C6" s="2" t="s">
        <v>117</v>
      </c>
    </row>
    <row r="7" spans="1:3" s="2" customFormat="1" x14ac:dyDescent="0.25">
      <c r="A7" s="2" t="s">
        <v>118</v>
      </c>
      <c r="B7" s="2" t="s">
        <v>119</v>
      </c>
      <c r="C7" s="2" t="s">
        <v>120</v>
      </c>
    </row>
    <row r="8" spans="1:3" s="2" customFormat="1" x14ac:dyDescent="0.25">
      <c r="A8" s="2" t="s">
        <v>121</v>
      </c>
      <c r="B8" s="2" t="s">
        <v>122</v>
      </c>
      <c r="C8" s="2" t="s">
        <v>123</v>
      </c>
    </row>
    <row r="9" spans="1:3" s="2" customFormat="1" x14ac:dyDescent="0.25">
      <c r="A9" s="2" t="s">
        <v>124</v>
      </c>
      <c r="B9" s="2" t="s">
        <v>125</v>
      </c>
      <c r="C9" s="2" t="s">
        <v>126</v>
      </c>
    </row>
  </sheetData>
  <autoFilter ref="A1:C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" customWidth="1"/>
    <col min="2" max="2" width="80" customWidth="1"/>
    <col min="3" max="3" width="50" customWidth="1"/>
  </cols>
  <sheetData>
    <row r="1" ht="34" customHeight="1" spans="1:3" s="11" customFormat="1" x14ac:dyDescent="0.25">
      <c r="A1" s="11" t="s">
        <v>127</v>
      </c>
      <c r="B1" s="11" t="s">
        <v>128</v>
      </c>
      <c r="C1" s="11" t="s">
        <v>129</v>
      </c>
    </row>
    <row r="2" spans="1:3" s="2" customFormat="1" x14ac:dyDescent="0.25">
      <c r="A2" s="2">
        <v>1</v>
      </c>
      <c r="B2" s="2" t="s">
        <v>130</v>
      </c>
      <c r="C2" s="2" t="s">
        <v>131</v>
      </c>
    </row>
    <row r="3" spans="1:3" s="2" customFormat="1" x14ac:dyDescent="0.25">
      <c r="A3" s="2">
        <v>2</v>
      </c>
      <c r="B3" s="2" t="s">
        <v>132</v>
      </c>
      <c r="C3" s="2" t="s">
        <v>133</v>
      </c>
    </row>
    <row r="4" spans="1:3" s="2" customFormat="1" x14ac:dyDescent="0.25">
      <c r="A4" s="2">
        <v>3</v>
      </c>
      <c r="B4" s="2" t="s">
        <v>134</v>
      </c>
      <c r="C4" s="2" t="s">
        <v>135</v>
      </c>
    </row>
    <row r="5" spans="1:3" s="2" customFormat="1" x14ac:dyDescent="0.25">
      <c r="A5" s="2">
        <v>4</v>
      </c>
      <c r="B5" s="2" t="s">
        <v>136</v>
      </c>
      <c r="C5" s="2" t="s">
        <v>137</v>
      </c>
    </row>
    <row r="6" spans="1:3" s="2" customFormat="1" x14ac:dyDescent="0.25">
      <c r="A6" s="2">
        <v>5</v>
      </c>
      <c r="B6" s="2" t="s">
        <v>138</v>
      </c>
      <c r="C6" s="2" t="s">
        <v>139</v>
      </c>
    </row>
    <row r="7" spans="1:3" s="2" customFormat="1" x14ac:dyDescent="0.25">
      <c r="A7" s="2">
        <v>6</v>
      </c>
      <c r="B7" s="2" t="s">
        <v>140</v>
      </c>
      <c r="C7" s="2" t="s">
        <v>141</v>
      </c>
    </row>
    <row r="8" spans="1:3" s="2" customFormat="1" x14ac:dyDescent="0.25">
      <c r="A8" s="2">
        <v>7</v>
      </c>
      <c r="B8" s="2" t="s">
        <v>142</v>
      </c>
      <c r="C8" s="2" t="s">
        <v>143</v>
      </c>
    </row>
    <row r="9" spans="1:3" s="2" customFormat="1" x14ac:dyDescent="0.25">
      <c r="A9" s="2">
        <v>8</v>
      </c>
      <c r="B9" s="2" t="s">
        <v>144</v>
      </c>
      <c r="C9" s="2" t="s">
        <v>145</v>
      </c>
    </row>
    <row r="10" spans="1:3" s="2" customFormat="1" x14ac:dyDescent="0.25">
      <c r="A10" s="2">
        <v>9</v>
      </c>
      <c r="B10" s="2" t="s">
        <v>146</v>
      </c>
      <c r="C10" s="2" t="s">
        <v>147</v>
      </c>
    </row>
    <row r="11" spans="1:3" s="2" customFormat="1" x14ac:dyDescent="0.25">
      <c r="A11" s="2">
        <v>10</v>
      </c>
      <c r="B11" s="2" t="s">
        <v>148</v>
      </c>
      <c r="C11" s="2" t="s">
        <v>149</v>
      </c>
    </row>
  </sheetData>
  <autoFilter ref="A1:C1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Inputs (assumptions)</vt:lpstr>
      <vt:lpstr>Scenario Calculator</vt:lpstr>
      <vt:lpstr>Phased Plan</vt:lpstr>
      <vt:lpstr>Risks &amp; Assumptions</vt:lpstr>
      <vt:lpstr>Pre-Payment 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Lead generation research</dc:creator>
  <dc:title/>
  <dc:subject/>
  <dc:description/>
  <cp:keywords/>
  <cp:category/>
  <cp:lastModifiedBy>Unknown</cp:lastModifiedBy>
  <dcterms:created xsi:type="dcterms:W3CDTF">2026-10-13T05:49:11Z</dcterms:created>
  <dcterms:modified xsi:type="dcterms:W3CDTF">2026-10-13T05:49:11Z</dcterms:modified>
</cp:coreProperties>
</file>